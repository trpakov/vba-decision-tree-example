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ВРРН\"/>
    </mc:Choice>
  </mc:AlternateContent>
  <bookViews>
    <workbookView xWindow="0" yWindow="0" windowWidth="28800" windowHeight="12435"/>
  </bookViews>
  <sheets>
    <sheet name="Sheet1" sheetId="3" r:id="rId1"/>
  </sheets>
  <definedNames>
    <definedName name="alter01">Sheet1!$R$40:$S$40</definedName>
    <definedName name="alter02">Sheet1!$R$44:$S$44</definedName>
    <definedName name="alter11">Sheet1!$R$7:$S$7</definedName>
    <definedName name="alter12">Sheet1!$R$11:$S$11</definedName>
    <definedName name="alter21">Sheet1!$R$18:$S$18</definedName>
    <definedName name="alter22">Sheet1!$R$22:$S$22</definedName>
    <definedName name="alter31">Sheet1!$R$29:$S$29</definedName>
    <definedName name="alter32">Sheet1!$R$33:$S$33</definedName>
    <definedName name="e0Label">Sheet1!$L$41</definedName>
    <definedName name="e1_">Sheet1!$I$8:$I$11</definedName>
    <definedName name="e1Label">Sheet1!$L$13</definedName>
    <definedName name="e2_">Sheet1!$J$8:$J$11</definedName>
    <definedName name="e2Label">Sheet1!$M$19</definedName>
    <definedName name="e3_">Sheet1!$K$8:$K$11</definedName>
    <definedName name="e3Label">Sheet1!$L$27</definedName>
    <definedName name="exper0">Sheet1!$N$42:$O$42</definedName>
    <definedName name="exper1">Sheet1!$N$9:$O$9</definedName>
    <definedName name="exper2">Sheet1!$N$20:$O$20</definedName>
    <definedName name="exper3">Sheet1!$N$31:$O$31</definedName>
    <definedName name="groupSast01">Sheet1!$V$38:$V$41</definedName>
    <definedName name="groupSast02">Sheet1!$V$43:$V$46</definedName>
    <definedName name="groupSast11">Sheet1!$V$5:$V$8</definedName>
    <definedName name="groupSast12">Sheet1!$V$10:$V$13</definedName>
    <definedName name="groupSast21">Sheet1!$V$16:$V$19</definedName>
    <definedName name="groupSast22">Sheet1!$V$21:$V$24</definedName>
    <definedName name="groupSast31">Sheet1!$V$27:$V$30</definedName>
    <definedName name="groupSast32">Sheet1!$V$32:$V$35</definedName>
    <definedName name="ke0Label">Sheet1!$H$41</definedName>
    <definedName name="keLabel">Sheet1!$H$19</definedName>
    <definedName name="noExp">Sheet1!$F$42:$G$42</definedName>
    <definedName name="noExp2">Sheet1!$J$42:$K$42</definedName>
    <definedName name="pe_">Sheet1!$B$14:$B$16</definedName>
    <definedName name="pi_">Sheet1!$D$8:$D$11</definedName>
    <definedName name="sast011">Sheet1!$V$38:$W$38</definedName>
    <definedName name="sast012">Sheet1!$V$39:$W$39</definedName>
    <definedName name="sast013">Sheet1!$V$40:$W$40</definedName>
    <definedName name="sast014">Sheet1!$V$41:$W$41</definedName>
    <definedName name="sast021">Sheet1!$V$43:$W$43</definedName>
    <definedName name="sast022">Sheet1!$V$44:$W$44</definedName>
    <definedName name="sast023">Sheet1!$V$45:$W$45</definedName>
    <definedName name="sast024">Sheet1!$V$46:$W$46</definedName>
    <definedName name="sast111">Sheet1!$V$5:$W$5</definedName>
    <definedName name="sast112">Sheet1!$V$6:$W$6</definedName>
    <definedName name="sast113">Sheet1!$V$7:$W$7</definedName>
    <definedName name="sast114">Sheet1!$V$8:$W$8</definedName>
    <definedName name="sast121">Sheet1!$V$10:$W$10</definedName>
    <definedName name="sast122">Sheet1!$V$11:$W$11</definedName>
    <definedName name="sast123">Sheet1!$V$12:$W$12</definedName>
    <definedName name="sast124">Sheet1!$V$13:$W$13</definedName>
    <definedName name="sast211">Sheet1!$V$16:$W$16</definedName>
    <definedName name="sast212">Sheet1!$V$17:$W$17</definedName>
    <definedName name="sast213">Sheet1!$V$18:$W$18</definedName>
    <definedName name="sast214">Sheet1!$V$19:$W$19</definedName>
    <definedName name="sast221">Sheet1!$V$21:$W$21</definedName>
    <definedName name="sast222">Sheet1!$V$22:$W$22</definedName>
    <definedName name="sast223">Sheet1!$V$23:$W$23</definedName>
    <definedName name="sast224">Sheet1!$V$24:$W$24</definedName>
    <definedName name="sast311">Sheet1!$V$27:$W$27</definedName>
    <definedName name="sast312">Sheet1!$V$28:$W$28</definedName>
    <definedName name="sast313">Sheet1!$V$29:$W$29</definedName>
    <definedName name="sast314">Sheet1!$V$30:$W$30</definedName>
    <definedName name="sast321">Sheet1!$V$32:$W$32</definedName>
    <definedName name="sast322">Sheet1!$V$33:$W$33</definedName>
    <definedName name="sast323">Sheet1!$V$34:$W$34</definedName>
    <definedName name="sast324">Sheet1!$V$35:$W$35</definedName>
    <definedName name="start">Sheet1!$B$31:$C$31</definedName>
    <definedName name="v10Label">Sheet1!$P$40</definedName>
    <definedName name="v11Label">Sheet1!$P$7</definedName>
    <definedName name="v12Label">Sheet1!$P$18</definedName>
    <definedName name="v13Label">Sheet1!$P$29</definedName>
    <definedName name="v20Label">Sheet1!$P$44</definedName>
    <definedName name="v21Label">Sheet1!$P$11</definedName>
    <definedName name="v22Label">Sheet1!$P$22</definedName>
    <definedName name="v23Label">Sheet1!$P$33</definedName>
    <definedName name="yesExp">Sheet1!$F$20:$G$20</definedName>
    <definedName name="yesExp2">Sheet1!$J$20:$K$20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3" l="1"/>
  <c r="I10" i="3"/>
  <c r="I9" i="3"/>
  <c r="I8" i="3"/>
  <c r="K11" i="3"/>
  <c r="J11" i="3"/>
  <c r="K10" i="3"/>
  <c r="J10" i="3"/>
  <c r="K9" i="3"/>
  <c r="J9" i="3"/>
  <c r="K8" i="3"/>
  <c r="J8" i="3"/>
  <c r="B14" i="3" l="1"/>
  <c r="C14" i="3" s="1"/>
  <c r="D11" i="3"/>
  <c r="D10" i="3"/>
  <c r="E14" i="3" s="1"/>
  <c r="D9" i="3"/>
  <c r="F14" i="3" l="1"/>
  <c r="B15" i="3"/>
  <c r="D14" i="3"/>
  <c r="B16" i="3"/>
  <c r="C15" i="3" l="1"/>
  <c r="F15" i="3"/>
  <c r="E15" i="3"/>
  <c r="C16" i="3"/>
  <c r="F16" i="3"/>
  <c r="E16" i="3"/>
  <c r="D16" i="3"/>
  <c r="D15" i="3"/>
</calcChain>
</file>

<file path=xl/sharedStrings.xml><?xml version="1.0" encoding="utf-8"?>
<sst xmlns="http://schemas.openxmlformats.org/spreadsheetml/2006/main" count="25" uniqueCount="14">
  <si>
    <t>V1</t>
  </si>
  <si>
    <t>V2</t>
  </si>
  <si>
    <t>I1</t>
  </si>
  <si>
    <t>I2</t>
  </si>
  <si>
    <t>I3</t>
  </si>
  <si>
    <t>I4</t>
  </si>
  <si>
    <t>p(I)</t>
  </si>
  <si>
    <t>e1</t>
  </si>
  <si>
    <t>e2</t>
  </si>
  <si>
    <t>e3</t>
  </si>
  <si>
    <t>p(e|I)</t>
  </si>
  <si>
    <t>p(I|e)</t>
  </si>
  <si>
    <t>Цена за проучване</t>
  </si>
  <si>
    <t>p(е)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</si>
</sst>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2" fontId="0" fillId="0" borderId="0" xfId="0" applyNumberFormat="1"/>
    <xf numFmtId="1" fontId="0" fillId="0" borderId="1" xfId="0" applyNumberFormat="1" applyBorder="1"/>
    <xf numFmtId="2" fontId="0" fillId="2" borderId="2" xfId="0" applyNumberFormat="1" applyFill="1" applyBorder="1" applyAlignment="1">
      <alignment horizontal="center"/>
    </xf>
    <xf numFmtId="0" fontId="0" fillId="2" borderId="1" xfId="0" applyFill="1" applyBorder="1"/>
    <xf numFmtId="2" fontId="0" fillId="2" borderId="6" xfId="0" applyNumberFormat="1" applyFill="1" applyBorder="1" applyAlignment="1">
      <alignment horizontal="center"/>
    </xf>
    <xf numFmtId="2" fontId="0" fillId="2" borderId="1" xfId="0" applyNumberFormat="1" applyFill="1" applyBorder="1"/>
    <xf numFmtId="2" fontId="0" fillId="3" borderId="1" xfId="0" applyNumberFormat="1" applyFill="1" applyBorder="1"/>
    <xf numFmtId="2" fontId="0" fillId="0" borderId="1" xfId="0" applyNumberFormat="1" applyBorder="1"/>
    <xf numFmtId="164" fontId="0" fillId="3" borderId="1" xfId="0" applyNumberFormat="1" applyFill="1" applyBorder="1"/>
    <xf numFmtId="0" fontId="0" fillId="0" borderId="1" xfId="0" applyBorder="1"/>
    <xf numFmtId="0" fontId="0" fillId="3" borderId="1" xfId="0" applyFill="1" applyBorder="1"/>
    <xf numFmtId="0" fontId="0" fillId="2" borderId="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2" fontId="0" fillId="2" borderId="3" xfId="0" applyNumberForma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2</xdr:col>
          <xdr:colOff>0</xdr:colOff>
          <xdr:row>2</xdr:row>
          <xdr:rowOff>114300</xdr:rowOff>
        </xdr:to>
        <xdr:sp macro="" textlink="">
          <xdr:nvSpPr>
            <xdr:cNvPr id="2053" name="BtnGenerate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133350</xdr:rowOff>
        </xdr:from>
        <xdr:to>
          <xdr:col>4</xdr:col>
          <xdr:colOff>0</xdr:colOff>
          <xdr:row>2</xdr:row>
          <xdr:rowOff>114300</xdr:rowOff>
        </xdr:to>
        <xdr:sp macro="" textlink="">
          <xdr:nvSpPr>
            <xdr:cNvPr id="2054" name="btnFillTree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0</xdr:row>
          <xdr:rowOff>133350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2055" name="btnTracePath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0</xdr:row>
          <xdr:rowOff>133350</xdr:rowOff>
        </xdr:from>
        <xdr:to>
          <xdr:col>8</xdr:col>
          <xdr:colOff>0</xdr:colOff>
          <xdr:row>2</xdr:row>
          <xdr:rowOff>114300</xdr:rowOff>
        </xdr:to>
        <xdr:sp macro="" textlink="">
          <xdr:nvSpPr>
            <xdr:cNvPr id="2056" name="btnClear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K16"/>
  <sheetViews>
    <sheetView tabSelected="1" zoomScale="85" zoomScaleNormal="85" workbookViewId="0">
      <selection activeCell="B3" sqref="B3"/>
    </sheetView>
  </sheetViews>
  <sheetFormatPr defaultRowHeight="15" x14ac:dyDescent="0.25"/>
  <sheetData>
    <row r="4" spans="1:11" x14ac:dyDescent="0.25">
      <c r="I4" s="4" t="s">
        <v>12</v>
      </c>
      <c r="J4" s="4"/>
      <c r="K4" s="11">
        <v>5000</v>
      </c>
    </row>
    <row r="6" spans="1:11" x14ac:dyDescent="0.25">
      <c r="A6" s="3"/>
      <c r="B6" s="4"/>
      <c r="C6" s="4"/>
      <c r="D6" s="12" t="s">
        <v>6</v>
      </c>
      <c r="E6" s="14" t="s">
        <v>10</v>
      </c>
      <c r="F6" s="15"/>
      <c r="G6" s="16"/>
      <c r="I6" s="22" t="s">
        <v>11</v>
      </c>
      <c r="J6" s="23"/>
      <c r="K6" s="24"/>
    </row>
    <row r="7" spans="1:11" x14ac:dyDescent="0.25">
      <c r="A7" s="5"/>
      <c r="B7" s="4" t="s">
        <v>0</v>
      </c>
      <c r="C7" s="4" t="s">
        <v>1</v>
      </c>
      <c r="D7" s="13"/>
      <c r="E7" s="4" t="s">
        <v>7</v>
      </c>
      <c r="F7" s="4" t="s">
        <v>8</v>
      </c>
      <c r="G7" s="4" t="s">
        <v>9</v>
      </c>
      <c r="I7" s="4" t="s">
        <v>7</v>
      </c>
      <c r="J7" s="4" t="s">
        <v>8</v>
      </c>
      <c r="K7" s="4" t="s">
        <v>9</v>
      </c>
    </row>
    <row r="8" spans="1:11" x14ac:dyDescent="0.25">
      <c r="A8" s="6" t="s">
        <v>2</v>
      </c>
      <c r="B8" s="2">
        <v>-100000</v>
      </c>
      <c r="C8" s="2">
        <v>18000</v>
      </c>
      <c r="D8" s="7">
        <v>0.06</v>
      </c>
      <c r="E8" s="8">
        <v>1</v>
      </c>
      <c r="F8" s="8">
        <v>0</v>
      </c>
      <c r="G8" s="8">
        <v>0</v>
      </c>
      <c r="I8" s="8">
        <f>N((D8*E8)/B14)</f>
        <v>0.73170731707317072</v>
      </c>
      <c r="J8" s="8">
        <f>(D8*F8)/B15</f>
        <v>0</v>
      </c>
      <c r="K8" s="8">
        <f>(D8*G8)/B16</f>
        <v>0</v>
      </c>
    </row>
    <row r="9" spans="1:11" x14ac:dyDescent="0.25">
      <c r="A9" s="6" t="s">
        <v>3</v>
      </c>
      <c r="B9" s="2">
        <v>50000</v>
      </c>
      <c r="C9" s="2">
        <v>18000</v>
      </c>
      <c r="D9" s="7">
        <f>3/50+0.16</f>
        <v>0.22</v>
      </c>
      <c r="E9" s="8">
        <v>0.1</v>
      </c>
      <c r="F9" s="8">
        <v>0.9</v>
      </c>
      <c r="G9" s="8">
        <v>0</v>
      </c>
      <c r="I9" s="8">
        <f>N((D9*E9)/B14)</f>
        <v>0.26829268292682928</v>
      </c>
      <c r="J9" s="8">
        <f>(D9*F9)/B15</f>
        <v>0.43231441048034935</v>
      </c>
      <c r="K9" s="8">
        <f>(D9*G9)/B16</f>
        <v>0</v>
      </c>
    </row>
    <row r="10" spans="1:11" x14ac:dyDescent="0.25">
      <c r="A10" s="6" t="s">
        <v>4</v>
      </c>
      <c r="B10" s="2">
        <v>100000</v>
      </c>
      <c r="C10" s="2">
        <v>18000</v>
      </c>
      <c r="D10" s="7">
        <f>3/50+0.2</f>
        <v>0.26</v>
      </c>
      <c r="E10" s="8">
        <v>0</v>
      </c>
      <c r="F10" s="8">
        <v>1</v>
      </c>
      <c r="G10" s="8">
        <v>0</v>
      </c>
      <c r="I10" s="8">
        <f>N((D10*E10)/B14)</f>
        <v>0</v>
      </c>
      <c r="J10" s="8">
        <f>(D10*F10)/B15</f>
        <v>0.56768558951965065</v>
      </c>
      <c r="K10" s="8">
        <f>(D10*G10)/B16</f>
        <v>0</v>
      </c>
    </row>
    <row r="11" spans="1:11" x14ac:dyDescent="0.25">
      <c r="A11" s="6" t="s">
        <v>5</v>
      </c>
      <c r="B11" s="2">
        <v>200000</v>
      </c>
      <c r="C11" s="2">
        <v>18000</v>
      </c>
      <c r="D11" s="7">
        <f>0.64-3*3/50</f>
        <v>0.46</v>
      </c>
      <c r="E11" s="8">
        <v>0</v>
      </c>
      <c r="F11" s="8">
        <v>0</v>
      </c>
      <c r="G11" s="8">
        <v>1</v>
      </c>
      <c r="I11" s="8">
        <f>N((D11*E11)/B14)</f>
        <v>0</v>
      </c>
      <c r="J11" s="8">
        <f>(D11*F11)/B15</f>
        <v>0</v>
      </c>
      <c r="K11" s="10">
        <f>(D11*G11)/B16</f>
        <v>1</v>
      </c>
    </row>
    <row r="12" spans="1:11" x14ac:dyDescent="0.25">
      <c r="A12" s="3"/>
      <c r="B12" s="17" t="s">
        <v>13</v>
      </c>
      <c r="C12" s="19" t="s">
        <v>11</v>
      </c>
      <c r="D12" s="20"/>
      <c r="E12" s="20"/>
      <c r="F12" s="21"/>
      <c r="G12" s="1"/>
    </row>
    <row r="13" spans="1:11" x14ac:dyDescent="0.25">
      <c r="A13" s="5"/>
      <c r="B13" s="18"/>
      <c r="C13" s="6" t="s">
        <v>2</v>
      </c>
      <c r="D13" s="6" t="s">
        <v>3</v>
      </c>
      <c r="E13" s="6" t="s">
        <v>4</v>
      </c>
      <c r="F13" s="6" t="s">
        <v>5</v>
      </c>
      <c r="G13" s="1"/>
    </row>
    <row r="14" spans="1:11" x14ac:dyDescent="0.25">
      <c r="A14" s="6" t="s">
        <v>7</v>
      </c>
      <c r="B14" s="9">
        <f>SUMPRODUCT(D8:D11,E8:E11)</f>
        <v>8.2000000000000003E-2</v>
      </c>
      <c r="C14" s="8">
        <f>(D8*E8)/B14</f>
        <v>0.73170731707317072</v>
      </c>
      <c r="D14" s="8">
        <f>(D9*E9)/B14</f>
        <v>0.26829268292682928</v>
      </c>
      <c r="E14" s="8">
        <f>(D10*E10)/B14</f>
        <v>0</v>
      </c>
      <c r="F14" s="8">
        <f>(D11*E11)/B14</f>
        <v>0</v>
      </c>
      <c r="G14" s="1"/>
    </row>
    <row r="15" spans="1:11" x14ac:dyDescent="0.25">
      <c r="A15" s="6" t="s">
        <v>8</v>
      </c>
      <c r="B15" s="9">
        <f>SUMPRODUCT(D8:D11,F8:F11)</f>
        <v>0.45800000000000002</v>
      </c>
      <c r="C15" s="8">
        <f>(D8*F8)/B15</f>
        <v>0</v>
      </c>
      <c r="D15" s="8">
        <f>(D9*F9)/B15</f>
        <v>0.43231441048034935</v>
      </c>
      <c r="E15" s="8">
        <f>(D10*F10)/B15</f>
        <v>0.56768558951965065</v>
      </c>
      <c r="F15" s="8">
        <f>(D11*F11)/B15</f>
        <v>0</v>
      </c>
      <c r="G15" s="1"/>
    </row>
    <row r="16" spans="1:11" x14ac:dyDescent="0.25">
      <c r="A16" s="6" t="s">
        <v>9</v>
      </c>
      <c r="B16" s="9">
        <f>SUMPRODUCT(D8:D11,G8:G11)</f>
        <v>0.46</v>
      </c>
      <c r="C16" s="8">
        <f>(D8*G8)/B16</f>
        <v>0</v>
      </c>
      <c r="D16" s="8">
        <f>(D9*G9)/B16</f>
        <v>0</v>
      </c>
      <c r="E16" s="8">
        <f>(D10*G10)/B16</f>
        <v>0</v>
      </c>
      <c r="F16" s="10">
        <f>(D11*G11)/B16</f>
        <v>1</v>
      </c>
    </row>
  </sheetData>
  <mergeCells count="5">
    <mergeCell ref="D6:D7"/>
    <mergeCell ref="E6:G6"/>
    <mergeCell ref="B12:B13"/>
    <mergeCell ref="C12:F12"/>
    <mergeCell ref="I6:K6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3" r:id="rId4" name="BtnGenerate">
          <controlPr defaultSize="0"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2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2053" r:id="rId4" name="BtnGenerate"/>
      </mc:Fallback>
    </mc:AlternateContent>
    <mc:AlternateContent xmlns:mc="http://schemas.openxmlformats.org/markup-compatibility/2006">
      <mc:Choice Requires="x14">
        <control shapeId="2054" r:id="rId6" name="btnFillTree">
          <controlPr defaultSize="0" autoLine="0" r:id="rId7">
            <anchor moveWithCells="1">
              <from>
                <xdr:col>2</xdr:col>
                <xdr:colOff>133350</xdr:colOff>
                <xdr:row>0</xdr:row>
                <xdr:rowOff>133350</xdr:rowOff>
              </from>
              <to>
                <xdr:col>4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2054" r:id="rId6" name="btnFillTree"/>
      </mc:Fallback>
    </mc:AlternateContent>
    <mc:AlternateContent xmlns:mc="http://schemas.openxmlformats.org/markup-compatibility/2006">
      <mc:Choice Requires="x14">
        <control shapeId="2055" r:id="rId8" name="btnTracePath">
          <controlPr defaultSize="0" autoLine="0" r:id="rId9">
            <anchor moveWithCells="1">
              <from>
                <xdr:col>4</xdr:col>
                <xdr:colOff>133350</xdr:colOff>
                <xdr:row>0</xdr:row>
                <xdr:rowOff>133350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2055" r:id="rId8" name="btnTracePath"/>
      </mc:Fallback>
    </mc:AlternateContent>
    <mc:AlternateContent xmlns:mc="http://schemas.openxmlformats.org/markup-compatibility/2006">
      <mc:Choice Requires="x14">
        <control shapeId="2056" r:id="rId10" name="btnClear">
          <controlPr defaultSize="0" autoLine="0" r:id="rId11">
            <anchor moveWithCells="1">
              <from>
                <xdr:col>6</xdr:col>
                <xdr:colOff>133350</xdr:colOff>
                <xdr:row>0</xdr:row>
                <xdr:rowOff>133350</xdr:rowOff>
              </from>
              <to>
                <xdr:col>8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2056" r:id="rId10" name="btnCle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76</vt:i4>
      </vt:variant>
    </vt:vector>
  </HeadingPairs>
  <TitlesOfParts>
    <vt:vector size="77" baseType="lpstr">
      <vt:lpstr>Sheet1</vt:lpstr>
      <vt:lpstr>alter01</vt:lpstr>
      <vt:lpstr>alter02</vt:lpstr>
      <vt:lpstr>alter11</vt:lpstr>
      <vt:lpstr>alter12</vt:lpstr>
      <vt:lpstr>alter21</vt:lpstr>
      <vt:lpstr>alter22</vt:lpstr>
      <vt:lpstr>alter31</vt:lpstr>
      <vt:lpstr>alter32</vt:lpstr>
      <vt:lpstr>e0Label</vt:lpstr>
      <vt:lpstr>e1_</vt:lpstr>
      <vt:lpstr>e1Label</vt:lpstr>
      <vt:lpstr>e2_</vt:lpstr>
      <vt:lpstr>e2Label</vt:lpstr>
      <vt:lpstr>e3_</vt:lpstr>
      <vt:lpstr>e3Label</vt:lpstr>
      <vt:lpstr>exper0</vt:lpstr>
      <vt:lpstr>exper1</vt:lpstr>
      <vt:lpstr>exper2</vt:lpstr>
      <vt:lpstr>exper3</vt:lpstr>
      <vt:lpstr>groupSast01</vt:lpstr>
      <vt:lpstr>groupSast02</vt:lpstr>
      <vt:lpstr>groupSast11</vt:lpstr>
      <vt:lpstr>groupSast12</vt:lpstr>
      <vt:lpstr>groupSast21</vt:lpstr>
      <vt:lpstr>groupSast22</vt:lpstr>
      <vt:lpstr>groupSast31</vt:lpstr>
      <vt:lpstr>groupSast32</vt:lpstr>
      <vt:lpstr>ke0Label</vt:lpstr>
      <vt:lpstr>keLabel</vt:lpstr>
      <vt:lpstr>noExp</vt:lpstr>
      <vt:lpstr>noExp2</vt:lpstr>
      <vt:lpstr>pe_</vt:lpstr>
      <vt:lpstr>pi_</vt:lpstr>
      <vt:lpstr>sast011</vt:lpstr>
      <vt:lpstr>sast012</vt:lpstr>
      <vt:lpstr>sast013</vt:lpstr>
      <vt:lpstr>sast014</vt:lpstr>
      <vt:lpstr>sast021</vt:lpstr>
      <vt:lpstr>sast022</vt:lpstr>
      <vt:lpstr>sast023</vt:lpstr>
      <vt:lpstr>sast024</vt:lpstr>
      <vt:lpstr>sast111</vt:lpstr>
      <vt:lpstr>sast112</vt:lpstr>
      <vt:lpstr>sast113</vt:lpstr>
      <vt:lpstr>sast114</vt:lpstr>
      <vt:lpstr>sast121</vt:lpstr>
      <vt:lpstr>sast122</vt:lpstr>
      <vt:lpstr>sast123</vt:lpstr>
      <vt:lpstr>sast124</vt:lpstr>
      <vt:lpstr>sast211</vt:lpstr>
      <vt:lpstr>sast212</vt:lpstr>
      <vt:lpstr>sast213</vt:lpstr>
      <vt:lpstr>sast214</vt:lpstr>
      <vt:lpstr>sast221</vt:lpstr>
      <vt:lpstr>sast222</vt:lpstr>
      <vt:lpstr>sast223</vt:lpstr>
      <vt:lpstr>sast224</vt:lpstr>
      <vt:lpstr>sast311</vt:lpstr>
      <vt:lpstr>sast312</vt:lpstr>
      <vt:lpstr>sast313</vt:lpstr>
      <vt:lpstr>sast314</vt:lpstr>
      <vt:lpstr>sast321</vt:lpstr>
      <vt:lpstr>sast322</vt:lpstr>
      <vt:lpstr>sast323</vt:lpstr>
      <vt:lpstr>sast324</vt:lpstr>
      <vt:lpstr>start</vt:lpstr>
      <vt:lpstr>v10Label</vt:lpstr>
      <vt:lpstr>v11Label</vt:lpstr>
      <vt:lpstr>v12Label</vt:lpstr>
      <vt:lpstr>v13Label</vt:lpstr>
      <vt:lpstr>v20Label</vt:lpstr>
      <vt:lpstr>v21Label</vt:lpstr>
      <vt:lpstr>v22Label</vt:lpstr>
      <vt:lpstr>v23Label</vt:lpstr>
      <vt:lpstr>yesExp</vt:lpstr>
      <vt:lpstr>yesExp2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TrPakov</dc:creator>
  <cp:lastModifiedBy>TrPakov</cp:lastModifiedBy>
  <dcterms:created xsi:type="dcterms:W3CDTF">2020-11-07T13:38:32Z</dcterms:created>
  <dcterms:modified xsi:type="dcterms:W3CDTF">2020-12-29T13:57:40Z</dcterms:modified>
</cp:coreProperties>
</file>